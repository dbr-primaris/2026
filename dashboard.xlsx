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דשבורד ראשי" sheetId="1" state="visible" r:id="rId1"/>
    <sheet xmlns:r="http://schemas.openxmlformats.org/officeDocument/2006/relationships" name="הגדרות" sheetId="2" state="visible" r:id="rId2"/>
    <sheet xmlns:r="http://schemas.openxmlformats.org/officeDocument/2006/relationships" name="צוות וסוכנים" sheetId="3" state="visible" r:id="rId3"/>
    <sheet xmlns:r="http://schemas.openxmlformats.org/officeDocument/2006/relationships" name="לוח זמנים" sheetId="4" state="visible" r:id="rId4"/>
    <sheet xmlns:r="http://schemas.openxmlformats.org/officeDocument/2006/relationships" name="תקציב ומשאבים" sheetId="5" state="visible" r:id="rId5"/>
    <sheet xmlns:r="http://schemas.openxmlformats.org/officeDocument/2006/relationships" name="סיכונים" sheetId="6" state="visible" r:id="rId6"/>
    <sheet xmlns:r="http://schemas.openxmlformats.org/officeDocument/2006/relationships" name="סנכרון ותלויות" sheetId="7" state="visible" r:id="rId7"/>
    <sheet xmlns:r="http://schemas.openxmlformats.org/officeDocument/2006/relationships" name="מעקב זמנים" sheetId="8" state="visible" r:id="rId8"/>
    <sheet xmlns:r="http://schemas.openxmlformats.org/officeDocument/2006/relationships" name="חוקים ותובנות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dd/mm/yyyy;;;"/>
    <numFmt numFmtId="166" formatCode="#,##0&quot; ₪&quot;"/>
    <numFmt numFmtId="167" formatCode="#,##0&quot; ₪&quot;;\(#,##0&quot; ₪)&quot;;\-"/>
    <numFmt numFmtId="168" formatCode="0.0"/>
    <numFmt numFmtId="169" formatCode="0.0;\-0.0;\-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F2937"/>
      <sz val="10"/>
    </font>
    <font>
      <name val="Arial"/>
      <charset val="1"/>
      <family val="0"/>
      <i val="1"/>
      <color rgb="FF888780"/>
      <sz val="11"/>
    </font>
    <font>
      <name val="Arial"/>
      <charset val="1"/>
      <family val="0"/>
      <b val="1"/>
      <color rgb="FF1F2D50"/>
      <sz val="13"/>
    </font>
    <font>
      <name val="Arial"/>
      <charset val="1"/>
      <family val="0"/>
      <b val="1"/>
      <color rgb="FF1F2D50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F2937"/>
      <sz val="10"/>
    </font>
    <font>
      <name val="Arial"/>
      <charset val="1"/>
      <family val="0"/>
      <i val="1"/>
      <color rgb="FF888780"/>
      <sz val="9"/>
    </font>
    <font>
      <name val="Arial"/>
      <charset val="1"/>
      <family val="0"/>
      <b val="1"/>
      <color rgb="FF1F2D50"/>
      <sz val="12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F2D50"/>
        <bgColor rgb="FF1F2937"/>
      </patternFill>
    </fill>
    <fill>
      <patternFill patternType="solid">
        <fgColor rgb="FFF1EFE8"/>
        <bgColor rgb="FFEAF3DE"/>
      </patternFill>
    </fill>
    <fill>
      <patternFill patternType="solid">
        <fgColor rgb="FFEAF3DE"/>
        <bgColor rgb="FFF1EFE8"/>
      </patternFill>
    </fill>
    <fill>
      <patternFill patternType="solid">
        <fgColor rgb="FFFCEBEB"/>
        <bgColor rgb="FFFAEEDA"/>
      </patternFill>
    </fill>
    <fill>
      <patternFill patternType="solid">
        <fgColor rgb="FF0F6E56"/>
        <bgColor rgb="FF008080"/>
      </patternFill>
    </fill>
  </fills>
  <borders count="7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/>
      <diagonal/>
    </border>
    <border>
      <left/>
      <right style="thin">
        <color rgb="FFD3D1C7"/>
      </right>
      <top style="thin">
        <color rgb="FFD3D1C7"/>
      </top>
      <bottom/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 readingOrder="2"/>
    </xf>
    <xf numFmtId="0" fontId="5" fillId="0" borderId="0" applyAlignment="1" pivotButton="0" quotePrefix="0" xfId="0">
      <alignment horizontal="right" vertical="center" wrapText="1" readingOrder="2"/>
    </xf>
    <xf numFmtId="0" fontId="6" fillId="0" borderId="0" applyAlignment="1" pivotButton="0" quotePrefix="0" xfId="0">
      <alignment horizontal="right" vertical="center" wrapText="1" readingOrder="2"/>
    </xf>
    <xf numFmtId="164" fontId="0" fillId="0" borderId="0" applyAlignment="1" pivotButton="0" quotePrefix="0" xfId="0">
      <alignment horizontal="center" vertical="center" wrapText="1" readingOrder="2"/>
    </xf>
    <xf numFmtId="0" fontId="7" fillId="0" borderId="0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center" vertical="center" wrapText="1" readingOrder="2"/>
    </xf>
    <xf numFmtId="0" fontId="5" fillId="4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8" fillId="3" borderId="1" applyAlignment="1" pivotButton="0" quotePrefix="0" xfId="0">
      <alignment horizontal="center" vertical="center" wrapText="1" readingOrder="2"/>
    </xf>
    <xf numFmtId="9" fontId="8" fillId="4" borderId="1" applyAlignment="1" pivotButton="0" quotePrefix="0" xfId="0">
      <alignment horizontal="center" vertical="center" wrapText="1" readingOrder="2"/>
    </xf>
    <xf numFmtId="0" fontId="8" fillId="5" borderId="1" applyAlignment="1" pivotButton="0" quotePrefix="0" xfId="0">
      <alignment horizontal="center" vertical="center" wrapText="1" readingOrder="2"/>
    </xf>
    <xf numFmtId="0" fontId="9" fillId="6" borderId="1" applyAlignment="1" pivotButton="0" quotePrefix="0" xfId="0">
      <alignment horizontal="center" vertical="center" wrapText="1" readingOrder="2"/>
    </xf>
    <xf numFmtId="0" fontId="10" fillId="0" borderId="1" applyAlignment="1" pivotButton="0" quotePrefix="0" xfId="0">
      <alignment horizontal="right" vertical="center" wrapText="1" readingOrder="2"/>
    </xf>
    <xf numFmtId="165" fontId="10" fillId="0" borderId="1" applyAlignment="1" pivotButton="0" quotePrefix="0" xfId="0">
      <alignment horizontal="right" vertical="center" wrapText="1" readingOrder="2"/>
    </xf>
    <xf numFmtId="0" fontId="10" fillId="0" borderId="2" applyAlignment="1" pivotButton="0" quotePrefix="0" xfId="0">
      <alignment horizontal="right" vertical="center" wrapText="1" readingOrder="2"/>
    </xf>
    <xf numFmtId="0" fontId="11" fillId="0" borderId="0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right" vertical="center" wrapText="1" readingOrder="2"/>
    </xf>
    <xf numFmtId="0" fontId="10" fillId="0" borderId="1" applyAlignment="1" pivotButton="0" quotePrefix="0" xfId="0">
      <alignment horizontal="center" vertical="center" wrapText="1" readingOrder="2"/>
    </xf>
    <xf numFmtId="164" fontId="10" fillId="0" borderId="1" applyAlignment="1" pivotButton="0" quotePrefix="0" xfId="0">
      <alignment horizontal="right" vertical="center" wrapText="1" readingOrder="2"/>
    </xf>
    <xf numFmtId="9" fontId="10" fillId="0" borderId="1" applyAlignment="1" pivotButton="0" quotePrefix="0" xfId="0">
      <alignment horizontal="right" vertical="center" wrapText="1" readingOrder="2"/>
    </xf>
    <xf numFmtId="0" fontId="5" fillId="0" borderId="0" applyAlignment="1" pivotButton="0" quotePrefix="0" xfId="0">
      <alignment horizontal="right" vertical="center" wrapText="1" readingOrder="2"/>
    </xf>
    <xf numFmtId="9" fontId="12" fillId="0" borderId="0" applyAlignment="1" pivotButton="0" quotePrefix="0" xfId="0">
      <alignment horizontal="center" vertical="center" wrapText="1" readingOrder="2"/>
    </xf>
    <xf numFmtId="166" fontId="10" fillId="0" borderId="1" applyAlignment="1" pivotButton="0" quotePrefix="0" xfId="0">
      <alignment horizontal="right" vertical="center" wrapText="1" readingOrder="2"/>
    </xf>
    <xf numFmtId="167" fontId="10" fillId="0" borderId="1" applyAlignment="1" pivotButton="0" quotePrefix="0" xfId="0">
      <alignment horizontal="right" vertical="center" wrapText="1" readingOrder="2"/>
    </xf>
    <xf numFmtId="167" fontId="13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8" fontId="10" fillId="0" borderId="1" applyAlignment="1" pivotButton="0" quotePrefix="0" xfId="0">
      <alignment horizontal="right" vertical="center" wrapText="1" readingOrder="2"/>
    </xf>
    <xf numFmtId="169" fontId="10" fillId="0" borderId="1" applyAlignment="1" pivotButton="0" quotePrefix="0" xfId="0">
      <alignment horizontal="right" vertical="center" wrapText="1" readingOrder="2"/>
    </xf>
    <xf numFmtId="168" fontId="13" fillId="3" borderId="1" applyAlignment="1" pivotButton="0" quotePrefix="0" xfId="0">
      <alignment horizontal="general" vertical="bottom"/>
    </xf>
    <xf numFmtId="169" fontId="13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 readingOrder="2"/>
    </xf>
    <xf numFmtId="0" fontId="5" fillId="0" borderId="0" applyAlignment="1" pivotButton="0" quotePrefix="0" xfId="0">
      <alignment horizontal="right" vertical="center" wrapText="1" readingOrder="2"/>
    </xf>
    <xf numFmtId="0" fontId="6" fillId="0" borderId="0" applyAlignment="1" pivotButton="0" quotePrefix="0" xfId="0">
      <alignment horizontal="right" vertical="center" wrapText="1" readingOrder="2"/>
    </xf>
    <xf numFmtId="164" fontId="0" fillId="0" borderId="0" applyAlignment="1" pivotButton="0" quotePrefix="0" xfId="0">
      <alignment horizontal="center" vertical="center" wrapText="1" readingOrder="2"/>
    </xf>
    <xf numFmtId="0" fontId="7" fillId="0" borderId="0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center" vertical="center" wrapText="1" readingOrder="2"/>
    </xf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8" fillId="3" borderId="1" applyAlignment="1" pivotButton="0" quotePrefix="0" xfId="0">
      <alignment horizontal="center" vertical="center" wrapText="1" readingOrder="2"/>
    </xf>
    <xf numFmtId="9" fontId="8" fillId="4" borderId="1" applyAlignment="1" pivotButton="0" quotePrefix="0" xfId="0">
      <alignment horizontal="center" vertical="center" wrapText="1" readingOrder="2"/>
    </xf>
    <xf numFmtId="0" fontId="8" fillId="5" borderId="1" applyAlignment="1" pivotButton="0" quotePrefix="0" xfId="0">
      <alignment horizontal="center" vertical="center" wrapText="1" readingOrder="2"/>
    </xf>
    <xf numFmtId="0" fontId="9" fillId="6" borderId="1" applyAlignment="1" pivotButton="0" quotePrefix="0" xfId="0">
      <alignment horizontal="center" vertical="center" wrapText="1" readingOrder="2"/>
    </xf>
    <xf numFmtId="0" fontId="0" fillId="0" borderId="6" pivotButton="0" quotePrefix="0" xfId="0"/>
    <xf numFmtId="0" fontId="10" fillId="0" borderId="1" applyAlignment="1" pivotButton="0" quotePrefix="0" xfId="0">
      <alignment horizontal="right" vertical="center" wrapText="1" readingOrder="2"/>
    </xf>
    <xf numFmtId="165" fontId="10" fillId="0" borderId="1" applyAlignment="1" pivotButton="0" quotePrefix="0" xfId="0">
      <alignment horizontal="right" vertical="center" wrapText="1" readingOrder="2"/>
    </xf>
    <xf numFmtId="0" fontId="10" fillId="0" borderId="2" applyAlignment="1" pivotButton="0" quotePrefix="0" xfId="0">
      <alignment horizontal="right" vertical="center" wrapText="1" readingOrder="2"/>
    </xf>
    <xf numFmtId="0" fontId="11" fillId="0" borderId="0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right" vertical="center" wrapText="1" readingOrder="2"/>
    </xf>
    <xf numFmtId="0" fontId="10" fillId="0" borderId="1" applyAlignment="1" pivotButton="0" quotePrefix="0" xfId="0">
      <alignment horizontal="center" vertical="center" wrapText="1" readingOrder="2"/>
    </xf>
    <xf numFmtId="164" fontId="10" fillId="0" borderId="1" applyAlignment="1" pivotButton="0" quotePrefix="0" xfId="0">
      <alignment horizontal="right" vertical="center" wrapText="1" readingOrder="2"/>
    </xf>
    <xf numFmtId="9" fontId="10" fillId="0" borderId="1" applyAlignment="1" pivotButton="0" quotePrefix="0" xfId="0">
      <alignment horizontal="right" vertical="center" wrapText="1" readingOrder="2"/>
    </xf>
    <xf numFmtId="9" fontId="12" fillId="0" borderId="0" applyAlignment="1" pivotButton="0" quotePrefix="0" xfId="0">
      <alignment horizontal="center" vertical="center" wrapText="1" readingOrder="2"/>
    </xf>
    <xf numFmtId="166" fontId="10" fillId="0" borderId="1" applyAlignment="1" pivotButton="0" quotePrefix="0" xfId="0">
      <alignment horizontal="right" vertical="center" wrapText="1" readingOrder="2"/>
    </xf>
    <xf numFmtId="167" fontId="10" fillId="0" borderId="1" applyAlignment="1" pivotButton="0" quotePrefix="0" xfId="0">
      <alignment horizontal="right" vertical="center" wrapText="1" readingOrder="2"/>
    </xf>
    <xf numFmtId="167" fontId="13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8" fontId="10" fillId="0" borderId="1" applyAlignment="1" pivotButton="0" quotePrefix="0" xfId="0">
      <alignment horizontal="right" vertical="center" wrapText="1" readingOrder="2"/>
    </xf>
    <xf numFmtId="169" fontId="10" fillId="0" borderId="1" applyAlignment="1" pivotButton="0" quotePrefix="0" xfId="0">
      <alignment horizontal="right" vertical="center" wrapText="1" readingOrder="2"/>
    </xf>
    <xf numFmtId="168" fontId="13" fillId="3" borderId="1" applyAlignment="1" pivotButton="0" quotePrefix="0" xfId="0">
      <alignment horizontal="general" vertical="bottom"/>
    </xf>
    <xf numFmtId="169" fontId="13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CEBEB"/>
        </patternFill>
      </fill>
    </dxf>
    <dxf>
      <fill>
        <patternFill>
          <bgColor rgb="FFEAF3DE"/>
        </patternFill>
      </fill>
    </dxf>
    <dxf>
      <fill>
        <patternFill>
          <bgColor rgb="FFFAEE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D3D1C7"/>
      <rgbColor rgb="FF888780"/>
      <rgbColor rgb="FF9999FF"/>
      <rgbColor rgb="FF993366"/>
      <rgbColor rgb="FFFAEEDA"/>
      <rgbColor rgb="FFF1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BEB"/>
      <rgbColor rgb="FFEAF3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2D50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22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2" min="1" max="1"/>
    <col width="22" customWidth="1" style="32" min="2" max="2"/>
    <col width="18" customWidth="1" style="32" min="3" max="7"/>
  </cols>
  <sheetData>
    <row r="1" ht="31.5" customHeight="1" s="33">
      <c r="A1" s="34" t="inlineStr">
        <is>
          <t>דשבורד פרויקט</t>
        </is>
      </c>
    </row>
    <row r="2" ht="15" customHeight="1" s="33">
      <c r="A2" s="35" t="inlineStr">
        <is>
          <t>שם הפרויקט:</t>
        </is>
      </c>
      <c r="B2" s="36" t="inlineStr">
        <is>
          <t>דב"ר</t>
        </is>
      </c>
      <c r="E2" s="35" t="inlineStr">
        <is>
          <t>תאריך עדכון:</t>
        </is>
      </c>
      <c r="F2" s="37">
        <f>TODAY()</f>
        <v/>
      </c>
    </row>
    <row r="4" ht="24" customHeight="1" s="33">
      <c r="A4" s="38" t="inlineStr">
        <is>
          <t>תמונת מצב מהירה</t>
        </is>
      </c>
    </row>
    <row r="5" ht="19.5" customHeight="1" s="33">
      <c r="A5" s="39" t="inlineStr">
        <is>
          <t>שלב נוכחי</t>
        </is>
      </c>
      <c r="B5" s="40" t="n"/>
      <c r="C5" s="41" t="inlineStr">
        <is>
          <t>% התקדמות</t>
        </is>
      </c>
      <c r="D5" s="40" t="n"/>
      <c r="E5" s="39" t="inlineStr">
        <is>
          <t>סוכנים פעילים</t>
        </is>
      </c>
      <c r="F5" s="40" t="n"/>
      <c r="G5" s="42" t="inlineStr">
        <is>
          <t>חסימות פתוחות</t>
        </is>
      </c>
      <c r="H5" s="40" t="n"/>
    </row>
    <row r="6" ht="27.75" customHeight="1" s="33">
      <c r="A6" s="43">
        <f>הגדרות!B2</f>
        <v/>
      </c>
      <c r="B6" s="40" t="n"/>
      <c r="C6" s="44">
        <f>'לוח זמנים'!E14</f>
        <v/>
      </c>
      <c r="D6" s="40" t="n"/>
      <c r="E6" s="43">
        <f>COUNTIF('צוות וסוכנים'!D:D,"בעבודה")</f>
        <v/>
      </c>
      <c r="F6" s="40" t="n"/>
      <c r="G6" s="45">
        <f>COUNTIF('סנכרון ותלויות'!E:E,"חסום")</f>
        <v/>
      </c>
      <c r="H6" s="40" t="n"/>
    </row>
    <row r="9" ht="24" customHeight="1" s="33">
      <c r="A9" s="38" t="inlineStr">
        <is>
          <t>אבני דרך קרובות (מתוך 'לוח זמנים')</t>
        </is>
      </c>
    </row>
    <row r="10" ht="21.75" customHeight="1" s="33">
      <c r="A10" s="46" t="inlineStr">
        <is>
          <t>אבן דרך</t>
        </is>
      </c>
      <c r="B10" s="46" t="inlineStr">
        <is>
          <t>תאריך יעד</t>
        </is>
      </c>
      <c r="C10" s="46" t="inlineStr">
        <is>
          <t>סטטוס</t>
        </is>
      </c>
      <c r="D10" s="46" t="inlineStr">
        <is>
          <t>אחראי</t>
        </is>
      </c>
      <c r="E10" s="47" t="n"/>
      <c r="F10" s="47" t="n"/>
      <c r="G10" s="40" t="n"/>
    </row>
    <row r="11" ht="15" customHeight="1" s="33">
      <c r="A11" s="48">
        <f>IF('לוח זמנים'!B3="","",'לוח זמנים'!B3)</f>
        <v/>
      </c>
      <c r="B11" s="49">
        <f>IF('לוח זמנים'!C3="","",'לוח זמנים'!C3)</f>
        <v/>
      </c>
      <c r="C11" s="48">
        <f>IF('לוח זמנים'!D3="","",'לוח זמנים'!D3)</f>
        <v/>
      </c>
      <c r="D11" s="50">
        <f>IF('לוח זמנים'!F3="","",'לוח זמנים'!F3)</f>
        <v/>
      </c>
      <c r="E11" s="47" t="n"/>
      <c r="F11" s="47" t="n"/>
      <c r="G11" s="47" t="n"/>
    </row>
    <row r="12" ht="15" customHeight="1" s="33">
      <c r="A12" s="48">
        <f>IF('לוח זמנים'!B4="","",'לוח זמנים'!B4)</f>
        <v/>
      </c>
      <c r="B12" s="49">
        <f>IF('לוח זמנים'!C4="","",'לוח זמנים'!C4)</f>
        <v/>
      </c>
      <c r="C12" s="48">
        <f>IF('לוח זמנים'!D4="","",'לוח זמנים'!D4)</f>
        <v/>
      </c>
      <c r="D12" s="50">
        <f>IF('לוח זמנים'!F4="","",'לוח זמנים'!F4)</f>
        <v/>
      </c>
      <c r="E12" s="47" t="n"/>
      <c r="F12" s="47" t="n"/>
      <c r="G12" s="47" t="n"/>
    </row>
    <row r="13" ht="15" customHeight="1" s="33">
      <c r="A13" s="48">
        <f>IF('לוח זמנים'!B5="","",'לוח זמנים'!B5)</f>
        <v/>
      </c>
      <c r="B13" s="49">
        <f>IF('לוח זמנים'!C5="","",'לוח זמנים'!C5)</f>
        <v/>
      </c>
      <c r="C13" s="48">
        <f>IF('לוח זמנים'!D5="","",'לוח זמנים'!D5)</f>
        <v/>
      </c>
      <c r="D13" s="50">
        <f>IF('לוח זמנים'!F5="","",'לוח זמנים'!F5)</f>
        <v/>
      </c>
      <c r="E13" s="47" t="n"/>
      <c r="F13" s="47" t="n"/>
      <c r="G13" s="47" t="n"/>
    </row>
    <row r="14" ht="15" customHeight="1" s="33">
      <c r="A14" s="48">
        <f>IF('לוח זמנים'!B6="","",'לוח זמנים'!B6)</f>
        <v/>
      </c>
      <c r="B14" s="49">
        <f>IF('לוח זמנים'!C6="","",'לוח זמנים'!C6)</f>
        <v/>
      </c>
      <c r="C14" s="48">
        <f>IF('לוח זמנים'!D6="","",'לוח זמנים'!D6)</f>
        <v/>
      </c>
      <c r="D14" s="50">
        <f>IF('לוח זמנים'!F6="","",'לוח זמנים'!F6)</f>
        <v/>
      </c>
      <c r="E14" s="47" t="n"/>
      <c r="F14" s="47" t="n"/>
      <c r="G14" s="47" t="n"/>
    </row>
    <row r="15" ht="15" customHeight="1" s="33">
      <c r="A15" s="48">
        <f>IF('לוח זמנים'!B7="","",'לוח זמנים'!B7)</f>
        <v/>
      </c>
      <c r="B15" s="49">
        <f>IF('לוח זמנים'!C7="","",'לוח זמנים'!C7)</f>
        <v/>
      </c>
      <c r="C15" s="48">
        <f>IF('לוח זמנים'!D7="","",'לוח זמנים'!D7)</f>
        <v/>
      </c>
      <c r="D15" s="50">
        <f>IF('לוח זמנים'!F7="","",'לוח זמנים'!F7)</f>
        <v/>
      </c>
      <c r="E15" s="47" t="n"/>
      <c r="F15" s="47" t="n"/>
      <c r="G15" s="47" t="n"/>
    </row>
    <row r="17" ht="24" customHeight="1" s="33">
      <c r="A17" s="38" t="inlineStr">
        <is>
          <t>סיכונים פתוחים בעדיפות גבוהה (מתוך 'סיכונים')</t>
        </is>
      </c>
    </row>
    <row r="18" ht="21.75" customHeight="1" s="33">
      <c r="A18" s="46" t="inlineStr">
        <is>
          <t>סיכון</t>
        </is>
      </c>
      <c r="B18" s="46" t="inlineStr">
        <is>
          <t>השפעה</t>
        </is>
      </c>
      <c r="C18" s="46" t="inlineStr">
        <is>
          <t>סטטוס</t>
        </is>
      </c>
      <c r="D18" s="46" t="inlineStr">
        <is>
          <t>דרך התמודדות</t>
        </is>
      </c>
      <c r="E18" s="47" t="n"/>
      <c r="F18" s="47" t="n"/>
      <c r="G18" s="40" t="n"/>
    </row>
    <row r="19" ht="15" customHeight="1" s="33">
      <c r="A19" s="48">
        <f>IF(סיכונים!B3="","",סיכונים!B3)</f>
        <v/>
      </c>
      <c r="B19" s="48">
        <f>IF(סיכונים!D3="","",סיכונים!D3)</f>
        <v/>
      </c>
      <c r="C19" s="48">
        <f>IF(סיכונים!E3="","",סיכונים!E3)</f>
        <v/>
      </c>
      <c r="D19" s="50">
        <f>IF(סיכונים!F3="","",סיכונים!F3)</f>
        <v/>
      </c>
      <c r="E19" s="47" t="n"/>
      <c r="F19" s="47" t="n"/>
      <c r="G19" s="47" t="n"/>
    </row>
    <row r="20" ht="15" customHeight="1" s="33">
      <c r="A20" s="48">
        <f>IF(סיכונים!B4="","",סיכונים!B4)</f>
        <v/>
      </c>
      <c r="B20" s="48">
        <f>IF(סיכונים!D4="","",סיכונים!D4)</f>
        <v/>
      </c>
      <c r="C20" s="48">
        <f>IF(סיכונים!E4="","",סיכונים!E4)</f>
        <v/>
      </c>
      <c r="D20" s="50">
        <f>IF(סיכונים!F4="","",סיכונים!F4)</f>
        <v/>
      </c>
      <c r="E20" s="47" t="n"/>
      <c r="F20" s="47" t="n"/>
      <c r="G20" s="47" t="n"/>
    </row>
    <row r="21" ht="15" customHeight="1" s="33">
      <c r="A21" s="48">
        <f>IF(סיכונים!B5="","",סיכונים!B5)</f>
        <v/>
      </c>
      <c r="B21" s="48">
        <f>IF(סיכונים!D5="","",סיכונים!D5)</f>
        <v/>
      </c>
      <c r="C21" s="48">
        <f>IF(סיכונים!E5="","",סיכונים!E5)</f>
        <v/>
      </c>
      <c r="D21" s="50">
        <f>IF(סיכונים!F5="","",סיכונים!F5)</f>
        <v/>
      </c>
      <c r="E21" s="47" t="n"/>
      <c r="F21" s="47" t="n"/>
      <c r="G21" s="47" t="n"/>
    </row>
    <row r="22" ht="15" customHeight="1" s="33">
      <c r="A22" s="48">
        <f>IF(סיכונים!B6="","",סיכונים!B6)</f>
        <v/>
      </c>
      <c r="B22" s="48">
        <f>IF(סיכונים!D6="","",סיכונים!D6)</f>
        <v/>
      </c>
      <c r="C22" s="48">
        <f>IF(סיכונים!E6="","",סיכונים!E6)</f>
        <v/>
      </c>
      <c r="D22" s="50">
        <f>IF(סיכונים!F6="","",סיכונים!F6)</f>
        <v/>
      </c>
      <c r="E22" s="47" t="n"/>
      <c r="F22" s="47" t="n"/>
      <c r="G22" s="47" t="n"/>
    </row>
  </sheetData>
  <mergeCells count="25">
    <mergeCell ref="D18:G18"/>
    <mergeCell ref="C6:D6"/>
    <mergeCell ref="A17:G17"/>
    <mergeCell ref="D12:G12"/>
    <mergeCell ref="C5:D5"/>
    <mergeCell ref="A4:G4"/>
    <mergeCell ref="E5:F5"/>
    <mergeCell ref="D15:G15"/>
    <mergeCell ref="A6:B6"/>
    <mergeCell ref="D14:G14"/>
    <mergeCell ref="A9:G9"/>
    <mergeCell ref="D20:G20"/>
    <mergeCell ref="D19:G19"/>
    <mergeCell ref="G6:H6"/>
    <mergeCell ref="D10:G10"/>
    <mergeCell ref="D22:G22"/>
    <mergeCell ref="F2:G2"/>
    <mergeCell ref="E6:F6"/>
    <mergeCell ref="A1:G1"/>
    <mergeCell ref="A5:B5"/>
    <mergeCell ref="G5:H5"/>
    <mergeCell ref="D21:G21"/>
    <mergeCell ref="D11:G11"/>
    <mergeCell ref="D13:G13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B9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2" min="1" max="1"/>
    <col width="50" customWidth="1" style="32" min="2" max="2"/>
  </cols>
  <sheetData>
    <row r="1" ht="27.75" customHeight="1" s="33">
      <c r="A1" s="34" t="inlineStr">
        <is>
          <t>הגדרות הפרויקט</t>
        </is>
      </c>
    </row>
    <row r="2" ht="27.75" customHeight="1" s="33">
      <c r="A2" s="51" t="inlineStr">
        <is>
          <t>הערה</t>
        </is>
      </c>
      <c r="B2" s="51" t="inlineStr">
        <is>
          <t>קובץ זה שייך לעותק פרויקט ספציפי. אם זו עדיין תבנית-המקור (project-template), שכפלו אותה קודם - ראו 00-התחלה-כאן.md</t>
        </is>
      </c>
    </row>
    <row r="3" ht="19.5" customHeight="1" s="33">
      <c r="A3" s="52" t="inlineStr">
        <is>
          <t>שלב נוכחי</t>
        </is>
      </c>
      <c r="B3" s="48" t="inlineStr">
        <is>
          <t>ביצוע — איסוף נתונים</t>
        </is>
      </c>
    </row>
    <row r="4" ht="19.5" customHeight="1" s="33">
      <c r="A4" s="52" t="inlineStr">
        <is>
          <t>תאריך התחלה</t>
        </is>
      </c>
      <c r="B4" s="48" t="inlineStr">
        <is>
          <t>21.06.2026</t>
        </is>
      </c>
    </row>
    <row r="5" ht="19.5" customHeight="1" s="33">
      <c r="A5" s="52" t="inlineStr">
        <is>
          <t>בעלים</t>
        </is>
      </c>
      <c r="B5" s="48" t="inlineStr">
        <is>
          <t>לילך</t>
        </is>
      </c>
    </row>
    <row r="6" ht="19.5" customHeight="1" s="33">
      <c r="A6" s="52" t="inlineStr">
        <is>
          <t>מטרת הפרויקט</t>
        </is>
      </c>
      <c r="B6" s="48" t="inlineStr">
        <is>
          <t>זיהוי ויצירת קשר עם מועמדי הדמוקרטים לפריימריז 2026</t>
        </is>
      </c>
    </row>
    <row r="7" ht="19.5" customHeight="1" s="33">
      <c r="A7" s="52" t="inlineStr">
        <is>
          <t>הגדרת הצלחה</t>
        </is>
      </c>
      <c r="B7" s="48" t="inlineStr">
        <is>
          <t>רשימה מלאה של 32 מועמדים עם טלפון ומייל לכל אחד</t>
        </is>
      </c>
    </row>
    <row r="8" ht="19.5" customHeight="1" s="33">
      <c r="A8" s="52" t="inlineStr">
        <is>
          <t>האם מיזם חדש (כן/לא)</t>
        </is>
      </c>
      <c r="B8" s="48" t="inlineStr">
        <is>
          <t>לא</t>
        </is>
      </c>
    </row>
    <row r="9" ht="15" customHeight="1" s="33">
      <c r="A9" s="52" t="inlineStr">
        <is>
          <t>קישור לתיקיית הפרויקט</t>
        </is>
      </c>
      <c r="B9" s="48" t="n"/>
    </row>
  </sheetData>
  <mergeCells count="1">
    <mergeCell ref="A1:B1"/>
  </mergeCells>
  <dataValidations count="2">
    <dataValidation sqref="B2" showDropDown="0" showInputMessage="0" showErrorMessage="0" allowBlank="1" type="list" errorStyle="stop" operator="between">
      <formula1>"טרם החל,תכנון,בעבודה,סקירה,הושלם"</formula1>
      <formula2>0</formula2>
    </dataValidation>
    <dataValidation sqref="B7" showDropDown="0" showInputMessage="0" showErrorMessage="0" allowBlank="1" type="list" errorStyle="stop" operator="between">
      <formula1>"כן,לא"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32" min="1" max="1"/>
    <col width="26" customWidth="1" style="32" min="2" max="2"/>
    <col width="22" customWidth="1" style="32" min="3" max="3"/>
    <col width="14" customWidth="1" style="32" min="4" max="4"/>
    <col width="30" customWidth="1" style="32" min="5" max="5"/>
    <col width="22" customWidth="1" style="32" min="6" max="6"/>
    <col width="14" customWidth="1" style="32" min="7" max="7"/>
  </cols>
  <sheetData>
    <row r="1" ht="27.75" customHeight="1" s="33">
      <c r="A1" s="34" t="inlineStr">
        <is>
          <t>צוות וסוכנים</t>
        </is>
      </c>
    </row>
    <row r="2" ht="21.75" customHeight="1" s="33">
      <c r="A2" s="46" t="inlineStr">
        <is>
          <t>שם הסוכן</t>
        </is>
      </c>
      <c r="B2" s="46" t="inlineStr">
        <is>
          <t>תפקיד בקצרה</t>
        </is>
      </c>
      <c r="C2" s="46" t="inlineStr">
        <is>
          <t>סוג (AI/אדם)</t>
        </is>
      </c>
      <c r="D2" s="46" t="inlineStr">
        <is>
          <t>סטטוס</t>
        </is>
      </c>
      <c r="E2" s="46" t="inlineStr">
        <is>
          <t>עובד על</t>
        </is>
      </c>
      <c r="F2" s="46" t="inlineStr">
        <is>
          <t>ממתין ל...</t>
        </is>
      </c>
      <c r="G2" s="46" t="inlineStr">
        <is>
          <t>עודכן</t>
        </is>
      </c>
    </row>
    <row r="3" ht="19.5" customHeight="1" s="33">
      <c r="A3" s="48" t="inlineStr">
        <is>
          <t>agent-איסוף-מידע</t>
        </is>
      </c>
      <c r="B3" s="48" t="inlineStr">
        <is>
          <t>שליפת מועמדים ובדיקה יומית</t>
        </is>
      </c>
      <c r="C3" s="48" t="inlineStr">
        <is>
          <t>AI</t>
        </is>
      </c>
      <c r="D3" s="48" t="inlineStr">
        <is>
          <t>פעיל</t>
        </is>
      </c>
      <c r="E3" s="48" t="inlineStr">
        <is>
          <t>בדיקה יומית 19:00</t>
        </is>
      </c>
      <c r="F3" s="48" t="inlineStr">
        <is>
          <t>—</t>
        </is>
      </c>
      <c r="G3" s="48" t="inlineStr">
        <is>
          <t>2026-06-21</t>
        </is>
      </c>
    </row>
    <row r="4" ht="19.5" customHeight="1" s="33">
      <c r="A4" s="48" t="inlineStr">
        <is>
          <t>agent-העשרת-מידע</t>
        </is>
      </c>
      <c r="B4" s="48" t="inlineStr">
        <is>
          <t>איסוף טלפון ומייל לכל מועמד</t>
        </is>
      </c>
      <c r="C4" s="48" t="inlineStr">
        <is>
          <t>AI</t>
        </is>
      </c>
      <c r="D4" s="48" t="inlineStr">
        <is>
          <t>בעבודה</t>
        </is>
      </c>
      <c r="E4" s="48" t="inlineStr">
        <is>
          <t>24 מועמדים ממתינים</t>
        </is>
      </c>
      <c r="F4" s="48" t="inlineStr">
        <is>
          <t>—</t>
        </is>
      </c>
      <c r="G4" s="48" t="inlineStr">
        <is>
          <t>2026-06-21</t>
        </is>
      </c>
    </row>
    <row r="5" ht="19.5" customHeight="1" s="33">
      <c r="A5" s="48" t="n"/>
      <c r="B5" s="48" t="n"/>
      <c r="C5" s="48" t="n"/>
      <c r="D5" s="48" t="n"/>
      <c r="E5" s="48" t="n"/>
      <c r="F5" s="48" t="n"/>
      <c r="G5" s="48" t="n"/>
    </row>
    <row r="6" ht="19.5" customHeight="1" s="33">
      <c r="A6" s="48" t="n"/>
      <c r="B6" s="48" t="n"/>
      <c r="C6" s="48" t="n"/>
      <c r="D6" s="48" t="n"/>
      <c r="E6" s="48" t="n"/>
      <c r="F6" s="48" t="n"/>
      <c r="G6" s="48" t="n"/>
    </row>
    <row r="7" ht="19.5" customHeight="1" s="33">
      <c r="A7" s="48" t="n"/>
      <c r="B7" s="48" t="n"/>
      <c r="C7" s="48" t="n"/>
      <c r="D7" s="48" t="n"/>
      <c r="E7" s="48" t="n"/>
      <c r="F7" s="48" t="n"/>
      <c r="G7" s="48" t="n"/>
    </row>
    <row r="8" ht="19.5" customHeight="1" s="33">
      <c r="A8" s="48" t="n"/>
      <c r="B8" s="48" t="n"/>
      <c r="C8" s="48" t="n"/>
      <c r="D8" s="48" t="n"/>
      <c r="E8" s="48" t="n"/>
      <c r="F8" s="48" t="n"/>
      <c r="G8" s="48" t="n"/>
    </row>
    <row r="9" ht="19.5" customHeight="1" s="33">
      <c r="A9" s="48" t="n"/>
      <c r="B9" s="48" t="n"/>
      <c r="C9" s="48" t="n"/>
      <c r="D9" s="48" t="n"/>
      <c r="E9" s="48" t="n"/>
      <c r="F9" s="48" t="n"/>
      <c r="G9" s="48" t="n"/>
    </row>
    <row r="10" ht="19.5" customHeight="1" s="33">
      <c r="A10" s="48" t="n"/>
      <c r="B10" s="48" t="n"/>
      <c r="C10" s="48" t="n"/>
      <c r="D10" s="48" t="n"/>
      <c r="E10" s="48" t="n"/>
      <c r="F10" s="48" t="n"/>
      <c r="G10" s="48" t="n"/>
    </row>
    <row r="11" ht="19.5" customHeight="1" s="33">
      <c r="A11" s="48" t="n"/>
      <c r="B11" s="48" t="n"/>
      <c r="C11" s="48" t="n"/>
      <c r="D11" s="48" t="n"/>
      <c r="E11" s="48" t="n"/>
      <c r="F11" s="48" t="n"/>
      <c r="G11" s="48" t="n"/>
    </row>
    <row r="12" ht="19.5" customHeight="1" s="33">
      <c r="A12" s="48" t="n"/>
      <c r="B12" s="48" t="n"/>
      <c r="C12" s="48" t="n"/>
      <c r="D12" s="48" t="n"/>
      <c r="E12" s="48" t="n"/>
      <c r="F12" s="48" t="n"/>
      <c r="G12" s="48" t="n"/>
    </row>
  </sheetData>
  <mergeCells count="1">
    <mergeCell ref="A1:G1"/>
  </mergeCells>
  <conditionalFormatting sqref="D3:D50">
    <cfRule type="expression" rank="0" priority="2" equalAverage="0" aboveAverage="0" dxfId="0" text="" percent="0" bottom="0">
      <formula>D3="חסום"</formula>
    </cfRule>
    <cfRule type="expression" rank="0" priority="3" equalAverage="0" aboveAverage="0" dxfId="1" text="" percent="0" bottom="0">
      <formula>D3="הושלם"</formula>
    </cfRule>
    <cfRule type="expression" rank="0" priority="4" equalAverage="0" aboveAverage="0" dxfId="2" text="" percent="0" bottom="0">
      <formula>D3="בעבודה"</formula>
    </cfRule>
  </conditionalFormatting>
  <dataValidations count="2">
    <dataValidation sqref="D3:D50" showDropDown="0" showInputMessage="0" showErrorMessage="0" allowBlank="1" type="list" errorStyle="stop" operator="between">
      <formula1>"לא התחיל,בעבודה,ממתין,חסום,הושלם"</formula1>
      <formula2>0</formula2>
    </dataValidation>
    <dataValidation sqref="C3:C50" showDropDown="0" showInputMessage="0" showErrorMessage="0" allowBlank="1" type="list" errorStyle="stop" operator="between">
      <formula1>"AI,אדם"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F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2" min="1" max="1"/>
    <col width="28" customWidth="1" style="32" min="2" max="2"/>
    <col width="16" customWidth="1" style="32" min="3" max="4"/>
    <col width="22" customWidth="1" style="32" min="5" max="5"/>
    <col width="18" customWidth="1" style="32" min="6" max="6"/>
  </cols>
  <sheetData>
    <row r="1" ht="27.75" customHeight="1" s="33">
      <c r="A1" s="34" t="inlineStr">
        <is>
          <t>לוח זמנים ואבני דרך</t>
        </is>
      </c>
    </row>
    <row r="2" ht="21.75" customHeight="1" s="33">
      <c r="A2" s="46" t="inlineStr">
        <is>
          <t>#</t>
        </is>
      </c>
      <c r="B2" s="46" t="inlineStr">
        <is>
          <t>אבן דרך / משימה</t>
        </is>
      </c>
      <c r="C2" s="46" t="inlineStr">
        <is>
          <t>תאריך יעד</t>
        </is>
      </c>
      <c r="D2" s="46" t="inlineStr">
        <is>
          <t>סטטוס</t>
        </is>
      </c>
      <c r="E2" s="46" t="inlineStr">
        <is>
          <t>% התקדמות</t>
        </is>
      </c>
      <c r="F2" s="46" t="inlineStr">
        <is>
          <t>אחראי</t>
        </is>
      </c>
    </row>
    <row r="3" ht="19.5" customHeight="1" s="33">
      <c r="A3" s="53" t="n">
        <v>1</v>
      </c>
      <c r="B3" s="48" t="inlineStr">
        <is>
          <t>שליפת 32 מועמדים מ-hagush.org.il</t>
        </is>
      </c>
      <c r="C3" s="54" t="inlineStr">
        <is>
          <t>2026-06-21</t>
        </is>
      </c>
      <c r="D3" s="48" t="inlineStr">
        <is>
          <t>הושלם</t>
        </is>
      </c>
      <c r="E3" s="55" t="n">
        <v>100</v>
      </c>
      <c r="F3" s="48" t="inlineStr">
        <is>
          <t>agent-איסוף-מידע</t>
        </is>
      </c>
    </row>
    <row r="4" ht="19.5" customHeight="1" s="33">
      <c r="A4" s="53" t="n">
        <v>2</v>
      </c>
      <c r="B4" s="48" t="inlineStr">
        <is>
          <t>בניית קובץ candidates.xlsx עם כל השדות</t>
        </is>
      </c>
      <c r="C4" s="54" t="inlineStr">
        <is>
          <t>2026-06-21</t>
        </is>
      </c>
      <c r="D4" s="48" t="inlineStr">
        <is>
          <t>הושלם</t>
        </is>
      </c>
      <c r="E4" s="55" t="n">
        <v>100</v>
      </c>
      <c r="F4" s="48" t="inlineStr">
        <is>
          <t>agent-העשרת-מידע</t>
        </is>
      </c>
    </row>
    <row r="5" ht="19.5" customHeight="1" s="33">
      <c r="A5" s="53" t="n">
        <v>3</v>
      </c>
      <c r="B5" s="48" t="inlineStr">
        <is>
          <t>איסוף טלפון ומייל — סבב ראשון</t>
        </is>
      </c>
      <c r="C5" s="54" t="inlineStr">
        <is>
          <t>2026-07-15</t>
        </is>
      </c>
      <c r="D5" s="48" t="inlineStr">
        <is>
          <t>בתהליך</t>
        </is>
      </c>
      <c r="E5" s="55" t="n">
        <v>25</v>
      </c>
      <c r="F5" s="48" t="inlineStr">
        <is>
          <t>agent-העשרת-מידע</t>
        </is>
      </c>
    </row>
    <row r="6" ht="19.5" customHeight="1" s="33">
      <c r="A6" s="53" t="n">
        <v>4</v>
      </c>
      <c r="B6" s="48" t="inlineStr">
        <is>
          <t>בדיקה יומית מועמדים חדשים (אוטומטית)</t>
        </is>
      </c>
      <c r="C6" s="54" t="inlineStr">
        <is>
          <t>יומי</t>
        </is>
      </c>
      <c r="D6" s="48" t="inlineStr">
        <is>
          <t>פעיל</t>
        </is>
      </c>
      <c r="E6" s="55" t="n">
        <v>100</v>
      </c>
      <c r="F6" s="48" t="inlineStr">
        <is>
          <t>agent-איסוף-מידע</t>
        </is>
      </c>
    </row>
    <row r="7" ht="19.5" customHeight="1" s="33">
      <c r="A7" s="53" t="n">
        <v>5</v>
      </c>
      <c r="B7" s="48" t="n"/>
      <c r="C7" s="54" t="n"/>
      <c r="D7" s="48" t="n"/>
      <c r="E7" s="55" t="n"/>
      <c r="F7" s="48" t="n"/>
    </row>
    <row r="8" ht="19.5" customHeight="1" s="33">
      <c r="A8" s="53" t="n">
        <v>6</v>
      </c>
      <c r="B8" s="48" t="n"/>
      <c r="C8" s="54" t="n"/>
      <c r="D8" s="48" t="n"/>
      <c r="E8" s="55" t="n"/>
      <c r="F8" s="48" t="n"/>
    </row>
    <row r="9" ht="19.5" customHeight="1" s="33">
      <c r="A9" s="53" t="n">
        <v>7</v>
      </c>
      <c r="B9" s="48" t="n"/>
      <c r="C9" s="54" t="n"/>
      <c r="D9" s="48" t="n"/>
      <c r="E9" s="55" t="n"/>
      <c r="F9" s="48" t="n"/>
    </row>
    <row r="10" ht="19.5" customHeight="1" s="33">
      <c r="A10" s="53" t="n">
        <v>8</v>
      </c>
      <c r="B10" s="48" t="n"/>
      <c r="C10" s="54" t="n"/>
      <c r="D10" s="48" t="n"/>
      <c r="E10" s="55" t="n"/>
      <c r="F10" s="48" t="n"/>
    </row>
    <row r="11" ht="19.5" customHeight="1" s="33">
      <c r="A11" s="53" t="n">
        <v>9</v>
      </c>
      <c r="B11" s="48" t="n"/>
      <c r="C11" s="54" t="n"/>
      <c r="D11" s="48" t="n"/>
      <c r="E11" s="55" t="n"/>
      <c r="F11" s="48" t="n"/>
    </row>
    <row r="12" ht="19.5" customHeight="1" s="33">
      <c r="A12" s="53" t="n">
        <v>10</v>
      </c>
      <c r="B12" s="48" t="n"/>
      <c r="C12" s="54" t="n"/>
      <c r="D12" s="48" t="n"/>
      <c r="E12" s="55" t="n"/>
      <c r="F12" s="48" t="n"/>
    </row>
    <row r="14" ht="15" customHeight="1" s="33">
      <c r="A14" s="35" t="inlineStr">
        <is>
          <t>ממוצע התקדמות כללי:</t>
        </is>
      </c>
      <c r="E14" s="56">
        <f>IFERROR(AVERAGE(E3:E12),0)</f>
        <v/>
      </c>
    </row>
  </sheetData>
  <mergeCells count="2">
    <mergeCell ref="A1:F1"/>
    <mergeCell ref="A14:C14"/>
  </mergeCells>
  <conditionalFormatting sqref="D3:D50">
    <cfRule type="expression" rank="0" priority="2" equalAverage="0" aboveAverage="0" dxfId="0" text="" percent="0" bottom="0">
      <formula>D3="בסיכון"</formula>
    </cfRule>
    <cfRule type="expression" rank="0" priority="3" equalAverage="0" aboveAverage="0" dxfId="1" text="" percent="0" bottom="0">
      <formula>D3="הושלם"</formula>
    </cfRule>
  </conditionalFormatting>
  <dataValidations count="1">
    <dataValidation sqref="D3:D50" showDropDown="0" showInputMessage="0" showErrorMessage="0" allowBlank="1" type="list" errorStyle="stop" operator="between">
      <formula1>"טרם החל,בתהליך,הושלם,בסיכון"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E1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32" min="1" max="1"/>
    <col width="16" customWidth="1" style="32" min="2" max="4"/>
    <col width="24" customWidth="1" style="32" min="5" max="5"/>
  </cols>
  <sheetData>
    <row r="1" ht="27.75" customHeight="1" s="33">
      <c r="A1" s="34" t="inlineStr">
        <is>
          <t>תקציב ומשאבים</t>
        </is>
      </c>
    </row>
    <row r="2" ht="21.75" customHeight="1" s="33">
      <c r="A2" s="46" t="inlineStr">
        <is>
          <t>סעיף</t>
        </is>
      </c>
      <c r="B2" s="46" t="inlineStr">
        <is>
          <t>תקציב מתוכנן</t>
        </is>
      </c>
      <c r="C2" s="46" t="inlineStr">
        <is>
          <t>בפועל עד כה</t>
        </is>
      </c>
      <c r="D2" s="46" t="inlineStr">
        <is>
          <t>פער</t>
        </is>
      </c>
      <c r="E2" s="46" t="inlineStr">
        <is>
          <t>הערות</t>
        </is>
      </c>
    </row>
    <row r="3" ht="19.5" customHeight="1" s="33">
      <c r="A3" s="48" t="n"/>
      <c r="B3" s="57" t="n"/>
      <c r="C3" s="57" t="n"/>
      <c r="D3" s="58">
        <f>B3-C3</f>
        <v/>
      </c>
      <c r="E3" s="48" t="n"/>
    </row>
    <row r="4" ht="19.5" customHeight="1" s="33">
      <c r="A4" s="48" t="n"/>
      <c r="B4" s="57" t="n"/>
      <c r="C4" s="57" t="n"/>
      <c r="D4" s="58">
        <f>B4-C4</f>
        <v/>
      </c>
      <c r="E4" s="48" t="n"/>
    </row>
    <row r="5" ht="19.5" customHeight="1" s="33">
      <c r="A5" s="48" t="n"/>
      <c r="B5" s="57" t="n"/>
      <c r="C5" s="57" t="n"/>
      <c r="D5" s="58">
        <f>B5-C5</f>
        <v/>
      </c>
      <c r="E5" s="48" t="n"/>
    </row>
    <row r="6" ht="19.5" customHeight="1" s="33">
      <c r="A6" s="48" t="n"/>
      <c r="B6" s="57" t="n"/>
      <c r="C6" s="57" t="n"/>
      <c r="D6" s="58">
        <f>B6-C6</f>
        <v/>
      </c>
      <c r="E6" s="48" t="n"/>
    </row>
    <row r="7" ht="19.5" customHeight="1" s="33">
      <c r="A7" s="48" t="n"/>
      <c r="B7" s="57" t="n"/>
      <c r="C7" s="57" t="n"/>
      <c r="D7" s="58">
        <f>B7-C7</f>
        <v/>
      </c>
      <c r="E7" s="48" t="n"/>
    </row>
    <row r="8" ht="19.5" customHeight="1" s="33">
      <c r="A8" s="48" t="n"/>
      <c r="B8" s="57" t="n"/>
      <c r="C8" s="57" t="n"/>
      <c r="D8" s="58">
        <f>B8-C8</f>
        <v/>
      </c>
      <c r="E8" s="48" t="n"/>
    </row>
    <row r="9" ht="19.5" customHeight="1" s="33">
      <c r="A9" s="48" t="n"/>
      <c r="B9" s="57" t="n"/>
      <c r="C9" s="57" t="n"/>
      <c r="D9" s="58">
        <f>B9-C9</f>
        <v/>
      </c>
      <c r="E9" s="48" t="n"/>
    </row>
    <row r="10" ht="19.5" customHeight="1" s="33">
      <c r="A10" s="48" t="n"/>
      <c r="B10" s="57" t="n"/>
      <c r="C10" s="57" t="n"/>
      <c r="D10" s="58">
        <f>B10-C10</f>
        <v/>
      </c>
      <c r="E10" s="48" t="n"/>
    </row>
    <row r="11" ht="15" customHeight="1" s="33">
      <c r="A11" s="52" t="inlineStr">
        <is>
          <t>סה"כ</t>
        </is>
      </c>
      <c r="B11" s="59">
        <f>SUM(B3:B10)</f>
        <v/>
      </c>
      <c r="C11" s="59">
        <f>SUM(C3:C10)</f>
        <v/>
      </c>
      <c r="D11" s="59">
        <f>SUM(D3:D10)</f>
        <v/>
      </c>
      <c r="E11" s="60" t="n"/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F1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26" customWidth="1" style="32" min="2" max="2"/>
    <col width="14" customWidth="1" style="32" min="3" max="5"/>
    <col width="30" customWidth="1" style="32" min="6" max="6"/>
  </cols>
  <sheetData>
    <row r="1" ht="27.75" customHeight="1" s="33">
      <c r="A1" s="34" t="inlineStr">
        <is>
          <t>סיכונים ומעקב</t>
        </is>
      </c>
    </row>
    <row r="2" ht="21.75" customHeight="1" s="33">
      <c r="A2" s="46" t="inlineStr">
        <is>
          <t>#</t>
        </is>
      </c>
      <c r="B2" s="46" t="inlineStr">
        <is>
          <t>סיכון</t>
        </is>
      </c>
      <c r="C2" s="46" t="inlineStr">
        <is>
          <t>סבירות</t>
        </is>
      </c>
      <c r="D2" s="46" t="inlineStr">
        <is>
          <t>השפעה</t>
        </is>
      </c>
      <c r="E2" s="46" t="inlineStr">
        <is>
          <t>סטטוס</t>
        </is>
      </c>
      <c r="F2" s="46" t="inlineStr">
        <is>
          <t>דרך התמודדות</t>
        </is>
      </c>
    </row>
    <row r="3" ht="19.5" customHeight="1" s="33">
      <c r="A3" s="53" t="n">
        <v>1</v>
      </c>
      <c r="B3" s="48" t="n"/>
      <c r="C3" s="48" t="n"/>
      <c r="D3" s="48" t="n"/>
      <c r="E3" s="48" t="n"/>
      <c r="F3" s="48" t="n"/>
    </row>
    <row r="4" ht="19.5" customHeight="1" s="33">
      <c r="A4" s="53" t="n">
        <v>2</v>
      </c>
      <c r="B4" s="48" t="n"/>
      <c r="C4" s="48" t="n"/>
      <c r="D4" s="48" t="n"/>
      <c r="E4" s="48" t="n"/>
      <c r="F4" s="48" t="n"/>
    </row>
    <row r="5" ht="19.5" customHeight="1" s="33">
      <c r="A5" s="53" t="n">
        <v>3</v>
      </c>
      <c r="B5" s="48" t="n"/>
      <c r="C5" s="48" t="n"/>
      <c r="D5" s="48" t="n"/>
      <c r="E5" s="48" t="n"/>
      <c r="F5" s="48" t="n"/>
    </row>
    <row r="6" ht="19.5" customHeight="1" s="33">
      <c r="A6" s="53" t="n">
        <v>4</v>
      </c>
      <c r="B6" s="48" t="n"/>
      <c r="C6" s="48" t="n"/>
      <c r="D6" s="48" t="n"/>
      <c r="E6" s="48" t="n"/>
      <c r="F6" s="48" t="n"/>
    </row>
    <row r="7" ht="19.5" customHeight="1" s="33">
      <c r="A7" s="53" t="n">
        <v>5</v>
      </c>
      <c r="B7" s="48" t="n"/>
      <c r="C7" s="48" t="n"/>
      <c r="D7" s="48" t="n"/>
      <c r="E7" s="48" t="n"/>
      <c r="F7" s="48" t="n"/>
    </row>
    <row r="8" ht="19.5" customHeight="1" s="33">
      <c r="A8" s="53" t="n">
        <v>6</v>
      </c>
      <c r="B8" s="48" t="n"/>
      <c r="C8" s="48" t="n"/>
      <c r="D8" s="48" t="n"/>
      <c r="E8" s="48" t="n"/>
      <c r="F8" s="48" t="n"/>
    </row>
    <row r="9" ht="19.5" customHeight="1" s="33">
      <c r="A9" s="53" t="n">
        <v>7</v>
      </c>
      <c r="B9" s="48" t="n"/>
      <c r="C9" s="48" t="n"/>
      <c r="D9" s="48" t="n"/>
      <c r="E9" s="48" t="n"/>
      <c r="F9" s="48" t="n"/>
    </row>
    <row r="10" ht="19.5" customHeight="1" s="33">
      <c r="A10" s="53" t="n">
        <v>8</v>
      </c>
      <c r="B10" s="48" t="n"/>
      <c r="C10" s="48" t="n"/>
      <c r="D10" s="48" t="n"/>
      <c r="E10" s="48" t="n"/>
      <c r="F10" s="48" t="n"/>
    </row>
  </sheetData>
  <mergeCells count="1">
    <mergeCell ref="A1:F1"/>
  </mergeCells>
  <conditionalFormatting sqref="D3:D50">
    <cfRule type="expression" rank="0" priority="2" equalAverage="0" aboveAverage="0" dxfId="0" text="" percent="0" bottom="0">
      <formula>D3="גבוהה"</formula>
    </cfRule>
  </conditionalFormatting>
  <conditionalFormatting sqref="E3:E50">
    <cfRule type="expression" rank="0" priority="3" equalAverage="0" aboveAverage="0" dxfId="1" text="" percent="0" bottom="0">
      <formula>E3="סגור"</formula>
    </cfRule>
  </conditionalFormatting>
  <dataValidations count="2">
    <dataValidation sqref="C3:D50" showDropDown="0" showInputMessage="0" showErrorMessage="0" allowBlank="1" type="list" errorStyle="stop" operator="between">
      <formula1>"נמוכה,בינונית,גבוהה"</formula1>
      <formula2>0</formula2>
    </dataValidation>
    <dataValidation sqref="E3:E50" showDropDown="0" showInputMessage="0" showErrorMessage="0" allowBlank="1" type="list" errorStyle="stop" operator="between">
      <formula1>"פתוח,בטיפול,סגור"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F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2" min="1" max="1"/>
    <col width="24" customWidth="1" style="32" min="2" max="3"/>
    <col width="16" customWidth="1" style="32" min="4" max="4"/>
    <col width="14" customWidth="1" style="32" min="5" max="5"/>
    <col width="26" customWidth="1" style="32" min="6" max="6"/>
  </cols>
  <sheetData>
    <row r="1" ht="27.75" customHeight="1" s="33">
      <c r="A1" s="34" t="inlineStr">
        <is>
          <t>סנכרון ותלויות בין סוכנים</t>
        </is>
      </c>
    </row>
    <row r="2" ht="21.75" customHeight="1" s="33">
      <c r="A2" s="46" t="inlineStr">
        <is>
          <t>סוכן</t>
        </is>
      </c>
      <c r="B2" s="46" t="inlineStr">
        <is>
          <t>תלוי ב...</t>
        </is>
      </c>
      <c r="C2" s="46" t="inlineStr">
        <is>
          <t>חוסם את...</t>
        </is>
      </c>
      <c r="D2" s="46" t="inlineStr">
        <is>
          <t>תאריך עדכון</t>
        </is>
      </c>
      <c r="E2" s="46" t="inlineStr">
        <is>
          <t>סטטוס</t>
        </is>
      </c>
      <c r="F2" s="46" t="inlineStr">
        <is>
          <t>הערות</t>
        </is>
      </c>
    </row>
    <row r="3" ht="19.5" customHeight="1" s="33">
      <c r="A3" s="48" t="n"/>
      <c r="B3" s="48" t="n"/>
      <c r="C3" s="48" t="n"/>
      <c r="D3" s="54" t="n"/>
      <c r="E3" s="48" t="n"/>
      <c r="F3" s="48" t="n"/>
    </row>
    <row r="4" ht="19.5" customHeight="1" s="33">
      <c r="A4" s="48" t="n"/>
      <c r="B4" s="48" t="n"/>
      <c r="C4" s="48" t="n"/>
      <c r="D4" s="54" t="n"/>
      <c r="E4" s="48" t="n"/>
      <c r="F4" s="48" t="n"/>
    </row>
    <row r="5" ht="19.5" customHeight="1" s="33">
      <c r="A5" s="48" t="n"/>
      <c r="B5" s="48" t="n"/>
      <c r="C5" s="48" t="n"/>
      <c r="D5" s="54" t="n"/>
      <c r="E5" s="48" t="n"/>
      <c r="F5" s="48" t="n"/>
    </row>
    <row r="6" ht="19.5" customHeight="1" s="33">
      <c r="A6" s="48" t="n"/>
      <c r="B6" s="48" t="n"/>
      <c r="C6" s="48" t="n"/>
      <c r="D6" s="54" t="n"/>
      <c r="E6" s="48" t="n"/>
      <c r="F6" s="48" t="n"/>
    </row>
    <row r="7" ht="19.5" customHeight="1" s="33">
      <c r="A7" s="48" t="n"/>
      <c r="B7" s="48" t="n"/>
      <c r="C7" s="48" t="n"/>
      <c r="D7" s="54" t="n"/>
      <c r="E7" s="48" t="n"/>
      <c r="F7" s="48" t="n"/>
    </row>
    <row r="8" ht="19.5" customHeight="1" s="33">
      <c r="A8" s="48" t="n"/>
      <c r="B8" s="48" t="n"/>
      <c r="C8" s="48" t="n"/>
      <c r="D8" s="54" t="n"/>
      <c r="E8" s="48" t="n"/>
      <c r="F8" s="48" t="n"/>
    </row>
    <row r="9" ht="19.5" customHeight="1" s="33">
      <c r="A9" s="48" t="n"/>
      <c r="B9" s="48" t="n"/>
      <c r="C9" s="48" t="n"/>
      <c r="D9" s="54" t="n"/>
      <c r="E9" s="48" t="n"/>
      <c r="F9" s="48" t="n"/>
    </row>
    <row r="10" ht="19.5" customHeight="1" s="33">
      <c r="A10" s="48" t="n"/>
      <c r="B10" s="48" t="n"/>
      <c r="C10" s="48" t="n"/>
      <c r="D10" s="54" t="n"/>
      <c r="E10" s="48" t="n"/>
      <c r="F10" s="48" t="n"/>
    </row>
    <row r="11" ht="19.5" customHeight="1" s="33">
      <c r="A11" s="48" t="n"/>
      <c r="B11" s="48" t="n"/>
      <c r="C11" s="48" t="n"/>
      <c r="D11" s="54" t="n"/>
      <c r="E11" s="48" t="n"/>
      <c r="F11" s="48" t="n"/>
    </row>
    <row r="12" ht="19.5" customHeight="1" s="33">
      <c r="A12" s="48" t="n"/>
      <c r="B12" s="48" t="n"/>
      <c r="C12" s="48" t="n"/>
      <c r="D12" s="54" t="n"/>
      <c r="E12" s="48" t="n"/>
      <c r="F12" s="48" t="n"/>
    </row>
  </sheetData>
  <mergeCells count="1">
    <mergeCell ref="A1:F1"/>
  </mergeCells>
  <conditionalFormatting sqref="E3:E50">
    <cfRule type="expression" rank="0" priority="2" equalAverage="0" aboveAverage="0" dxfId="0" text="" percent="0" bottom="0">
      <formula>E3="חסום"</formula>
    </cfRule>
  </conditionalFormatting>
  <dataValidations count="1">
    <dataValidation sqref="E3:E50" showDropDown="0" showInputMessage="0" showErrorMessage="0" allowBlank="1" type="list" errorStyle="stop" operator="between">
      <formula1>"תקין,ממתין,חסום"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G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2" min="1" max="1"/>
    <col width="22" customWidth="1" style="32" min="2" max="3"/>
    <col width="14" customWidth="1" style="32" min="4" max="6"/>
    <col width="22" customWidth="1" style="32" min="7" max="7"/>
  </cols>
  <sheetData>
    <row r="1" ht="27.75" customHeight="1" s="33">
      <c r="A1" s="34" t="inlineStr">
        <is>
          <t>מעקב זמנים</t>
        </is>
      </c>
    </row>
    <row r="2" ht="21.75" customHeight="1" s="33">
      <c r="A2" s="46" t="inlineStr">
        <is>
          <t>תאריך</t>
        </is>
      </c>
      <c r="B2" s="46" t="inlineStr">
        <is>
          <t>משימה</t>
        </is>
      </c>
      <c r="C2" s="46" t="inlineStr">
        <is>
          <t>סוכן/אחראי</t>
        </is>
      </c>
      <c r="D2" s="46" t="inlineStr">
        <is>
          <t>זמן מתוכנן (שעות)</t>
        </is>
      </c>
      <c r="E2" s="46" t="inlineStr">
        <is>
          <t>זמן בפועל (שעות)</t>
        </is>
      </c>
      <c r="F2" s="46" t="inlineStr">
        <is>
          <t>פער</t>
        </is>
      </c>
      <c r="G2" s="46" t="inlineStr">
        <is>
          <t>הערות</t>
        </is>
      </c>
    </row>
    <row r="3" ht="19.5" customHeight="1" s="33">
      <c r="A3" s="54" t="n"/>
      <c r="B3" s="48" t="n"/>
      <c r="C3" s="48" t="n"/>
      <c r="D3" s="61" t="n"/>
      <c r="E3" s="61" t="n"/>
      <c r="F3" s="62">
        <f>IF(AND(ISNUMBER(D3),ISNUMBER(E3)),E3-D3,"")</f>
        <v/>
      </c>
      <c r="G3" s="48" t="n"/>
    </row>
    <row r="4" ht="19.5" customHeight="1" s="33">
      <c r="A4" s="54" t="n"/>
      <c r="B4" s="48" t="n"/>
      <c r="C4" s="48" t="n"/>
      <c r="D4" s="61" t="n"/>
      <c r="E4" s="61" t="n"/>
      <c r="F4" s="62">
        <f>IF(AND(ISNUMBER(D4),ISNUMBER(E4)),E4-D4,"")</f>
        <v/>
      </c>
      <c r="G4" s="48" t="n"/>
    </row>
    <row r="5" ht="19.5" customHeight="1" s="33">
      <c r="A5" s="54" t="n"/>
      <c r="B5" s="48" t="n"/>
      <c r="C5" s="48" t="n"/>
      <c r="D5" s="61" t="n"/>
      <c r="E5" s="61" t="n"/>
      <c r="F5" s="62">
        <f>IF(AND(ISNUMBER(D5),ISNUMBER(E5)),E5-D5,"")</f>
        <v/>
      </c>
      <c r="G5" s="48" t="n"/>
    </row>
    <row r="6" ht="19.5" customHeight="1" s="33">
      <c r="A6" s="54" t="n"/>
      <c r="B6" s="48" t="n"/>
      <c r="C6" s="48" t="n"/>
      <c r="D6" s="61" t="n"/>
      <c r="E6" s="61" t="n"/>
      <c r="F6" s="62">
        <f>IF(AND(ISNUMBER(D6),ISNUMBER(E6)),E6-D6,"")</f>
        <v/>
      </c>
      <c r="G6" s="48" t="n"/>
    </row>
    <row r="7" ht="19.5" customHeight="1" s="33">
      <c r="A7" s="54" t="n"/>
      <c r="B7" s="48" t="n"/>
      <c r="C7" s="48" t="n"/>
      <c r="D7" s="61" t="n"/>
      <c r="E7" s="61" t="n"/>
      <c r="F7" s="62">
        <f>IF(AND(ISNUMBER(D7),ISNUMBER(E7)),E7-D7,"")</f>
        <v/>
      </c>
      <c r="G7" s="48" t="n"/>
    </row>
    <row r="8" ht="19.5" customHeight="1" s="33">
      <c r="A8" s="54" t="n"/>
      <c r="B8" s="48" t="n"/>
      <c r="C8" s="48" t="n"/>
      <c r="D8" s="61" t="n"/>
      <c r="E8" s="61" t="n"/>
      <c r="F8" s="62">
        <f>IF(AND(ISNUMBER(D8),ISNUMBER(E8)),E8-D8,"")</f>
        <v/>
      </c>
      <c r="G8" s="48" t="n"/>
    </row>
    <row r="9" ht="19.5" customHeight="1" s="33">
      <c r="A9" s="54" t="n"/>
      <c r="B9" s="48" t="n"/>
      <c r="C9" s="48" t="n"/>
      <c r="D9" s="61" t="n"/>
      <c r="E9" s="61" t="n"/>
      <c r="F9" s="62">
        <f>IF(AND(ISNUMBER(D9),ISNUMBER(E9)),E9-D9,"")</f>
        <v/>
      </c>
      <c r="G9" s="48" t="n"/>
    </row>
    <row r="10" ht="19.5" customHeight="1" s="33">
      <c r="A10" s="54" t="n"/>
      <c r="B10" s="48" t="n"/>
      <c r="C10" s="48" t="n"/>
      <c r="D10" s="61" t="n"/>
      <c r="E10" s="61" t="n"/>
      <c r="F10" s="62">
        <f>IF(AND(ISNUMBER(D10),ISNUMBER(E10)),E10-D10,"")</f>
        <v/>
      </c>
      <c r="G10" s="48" t="n"/>
    </row>
    <row r="11" ht="19.5" customHeight="1" s="33">
      <c r="A11" s="54" t="n"/>
      <c r="B11" s="48" t="n"/>
      <c r="C11" s="48" t="n"/>
      <c r="D11" s="61" t="n"/>
      <c r="E11" s="61" t="n"/>
      <c r="F11" s="62">
        <f>IF(AND(ISNUMBER(D11),ISNUMBER(E11)),E11-D11,"")</f>
        <v/>
      </c>
      <c r="G11" s="48" t="n"/>
    </row>
    <row r="12" ht="19.5" customHeight="1" s="33">
      <c r="A12" s="54" t="n"/>
      <c r="B12" s="48" t="n"/>
      <c r="C12" s="48" t="n"/>
      <c r="D12" s="61" t="n"/>
      <c r="E12" s="61" t="n"/>
      <c r="F12" s="62">
        <f>IF(AND(ISNUMBER(D12),ISNUMBER(E12)),E12-D12,"")</f>
        <v/>
      </c>
      <c r="G12" s="48" t="n"/>
    </row>
    <row r="13" ht="19.5" customHeight="1" s="33">
      <c r="A13" s="54" t="n"/>
      <c r="B13" s="48" t="n"/>
      <c r="C13" s="48" t="n"/>
      <c r="D13" s="61" t="n"/>
      <c r="E13" s="61" t="n"/>
      <c r="F13" s="62">
        <f>IF(AND(ISNUMBER(D13),ISNUMBER(E13)),E13-D13,"")</f>
        <v/>
      </c>
      <c r="G13" s="48" t="n"/>
    </row>
    <row r="14" ht="19.5" customHeight="1" s="33">
      <c r="A14" s="54" t="n"/>
      <c r="B14" s="48" t="n"/>
      <c r="C14" s="48" t="n"/>
      <c r="D14" s="61" t="n"/>
      <c r="E14" s="61" t="n"/>
      <c r="F14" s="62">
        <f>IF(AND(ISNUMBER(D14),ISNUMBER(E14)),E14-D14,"")</f>
        <v/>
      </c>
      <c r="G14" s="48" t="n"/>
    </row>
    <row r="16" ht="15" customHeight="1" s="33">
      <c r="A16" s="52" t="inlineStr">
        <is>
          <t>סה"כ</t>
        </is>
      </c>
      <c r="B16" s="47" t="n"/>
      <c r="C16" s="40" t="n"/>
      <c r="D16" s="63">
        <f>SUM(D3:D14)</f>
        <v/>
      </c>
      <c r="E16" s="63">
        <f>SUM(E3:E14)</f>
        <v/>
      </c>
      <c r="F16" s="64">
        <f>E16-D16</f>
        <v/>
      </c>
      <c r="G16" s="60" t="n"/>
    </row>
  </sheetData>
  <mergeCells count="2">
    <mergeCell ref="A1:G1"/>
    <mergeCell ref="A16:C16"/>
  </mergeCells>
  <conditionalFormatting sqref="F3:F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D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2" min="1" max="1"/>
    <col width="22" customWidth="1" style="32" min="2" max="2"/>
    <col width="40" customWidth="1" style="32" min="3" max="3"/>
    <col width="24" customWidth="1" style="32" min="4" max="4"/>
  </cols>
  <sheetData>
    <row r="1" ht="27.75" customHeight="1" s="33">
      <c r="A1" s="34" t="inlineStr">
        <is>
          <t>יומן החלטות, לקחים וחוקים</t>
        </is>
      </c>
    </row>
    <row r="2" ht="21.75" customHeight="1" s="33">
      <c r="A2" s="46" t="inlineStr">
        <is>
          <t>תאריך</t>
        </is>
      </c>
      <c r="B2" s="46" t="inlineStr">
        <is>
          <t>סוג (החלטה/לקח/כלל)</t>
        </is>
      </c>
      <c r="C2" s="46" t="inlineStr">
        <is>
          <t>תיאור</t>
        </is>
      </c>
      <c r="D2" s="46" t="inlineStr">
        <is>
          <t>רלוונטי לפרויקטים מסוג</t>
        </is>
      </c>
    </row>
    <row r="3" ht="25.5" customHeight="1" s="33">
      <c r="A3" s="54" t="inlineStr">
        <is>
          <t>2026-06-21</t>
        </is>
      </c>
      <c r="B3" s="48" t="inlineStr">
        <is>
          <t>לקח</t>
        </is>
      </c>
      <c r="C3" s="48" t="inlineStr">
        <is>
          <t>רוב מועמדי הדמוקרטים לא מפרסמים טלפון נייד אישי ברשת — יש לפנות דרך טפסי האתר או קבוצות WhatsApp של הקמפיין</t>
        </is>
      </c>
      <c r="D3" s="48" t="inlineStr">
        <is>
          <t>פריימריז / CRM מועמדים</t>
        </is>
      </c>
    </row>
    <row r="4" ht="25.5" customHeight="1" s="33">
      <c r="A4" s="54" t="n"/>
      <c r="B4" s="48" t="n"/>
      <c r="C4" s="48" t="n"/>
      <c r="D4" s="48" t="n"/>
    </row>
    <row r="5" ht="25.5" customHeight="1" s="33">
      <c r="A5" s="54" t="n"/>
      <c r="B5" s="48" t="n"/>
      <c r="C5" s="48" t="n"/>
      <c r="D5" s="48" t="n"/>
    </row>
    <row r="6" ht="25.5" customHeight="1" s="33">
      <c r="A6" s="54" t="n"/>
      <c r="B6" s="48" t="n"/>
      <c r="C6" s="48" t="n"/>
      <c r="D6" s="48" t="n"/>
    </row>
    <row r="7" ht="25.5" customHeight="1" s="33">
      <c r="A7" s="54" t="n"/>
      <c r="B7" s="48" t="n"/>
      <c r="C7" s="48" t="n"/>
      <c r="D7" s="48" t="n"/>
    </row>
    <row r="8" ht="25.5" customHeight="1" s="33">
      <c r="A8" s="54" t="n"/>
      <c r="B8" s="48" t="n"/>
      <c r="C8" s="48" t="n"/>
      <c r="D8" s="48" t="n"/>
    </row>
    <row r="9" ht="25.5" customHeight="1" s="33">
      <c r="A9" s="54" t="n"/>
      <c r="B9" s="48" t="n"/>
      <c r="C9" s="48" t="n"/>
      <c r="D9" s="48" t="n"/>
    </row>
    <row r="10" ht="25.5" customHeight="1" s="33">
      <c r="A10" s="54" t="n"/>
      <c r="B10" s="48" t="n"/>
      <c r="C10" s="48" t="n"/>
      <c r="D10" s="48" t="n"/>
    </row>
    <row r="11" ht="25.5" customHeight="1" s="33">
      <c r="A11" s="54" t="n"/>
      <c r="B11" s="48" t="n"/>
      <c r="C11" s="48" t="n"/>
      <c r="D11" s="48" t="n"/>
    </row>
    <row r="12" ht="25.5" customHeight="1" s="33">
      <c r="A12" s="54" t="n"/>
      <c r="B12" s="48" t="n"/>
      <c r="C12" s="48" t="n"/>
      <c r="D12" s="48" t="n"/>
    </row>
    <row r="13" ht="25.5" customHeight="1" s="33">
      <c r="A13" s="54" t="n"/>
      <c r="B13" s="48" t="n"/>
      <c r="C13" s="48" t="n"/>
      <c r="D13" s="48" t="n"/>
    </row>
    <row r="14" ht="25.5" customHeight="1" s="33">
      <c r="A14" s="54" t="n"/>
      <c r="B14" s="48" t="n"/>
      <c r="C14" s="48" t="n"/>
      <c r="D14" s="48" t="n"/>
    </row>
    <row r="15" ht="25.5" customHeight="1" s="33">
      <c r="A15" s="54" t="n"/>
      <c r="B15" s="48" t="n"/>
      <c r="C15" s="48" t="n"/>
      <c r="D15" s="48" t="n"/>
    </row>
    <row r="16" ht="25.5" customHeight="1" s="33">
      <c r="A16" s="54" t="n"/>
      <c r="B16" s="48" t="n"/>
      <c r="C16" s="48" t="n"/>
      <c r="D16" s="48" t="n"/>
    </row>
    <row r="17" ht="25.5" customHeight="1" s="33">
      <c r="A17" s="54" t="n"/>
      <c r="B17" s="48" t="n"/>
      <c r="C17" s="48" t="n"/>
      <c r="D17" s="48" t="n"/>
    </row>
  </sheetData>
  <mergeCells count="1">
    <mergeCell ref="A1:D1"/>
  </mergeCells>
  <dataValidations count="1">
    <dataValidation sqref="B3:B50" showDropDown="0" showInputMessage="0" showErrorMessage="0" allowBlank="1" type="list" errorStyle="stop" operator="between">
      <formula1>"החלטה,לקח,כלל לפעם הבאה"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2026-06-21T10:54:31Z</dcterms:created>
  <dcterms:modified xmlns:dcterms="http://purl.org/dc/terms/" xmlns:xsi="http://www.w3.org/2001/XMLSchema-instance" xsi:type="dcterms:W3CDTF">2026-06-21T16:15:23Z</dcterms:modified>
  <cp:revision>0</cp:revision>
</cp:coreProperties>
</file>